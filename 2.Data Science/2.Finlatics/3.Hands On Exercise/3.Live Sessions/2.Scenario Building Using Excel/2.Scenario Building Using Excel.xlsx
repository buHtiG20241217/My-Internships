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2.Finlatics\3.Hands On Exercise\3.Live Sessions\2.Scenario Building Using Excel\"/>
    </mc:Choice>
  </mc:AlternateContent>
  <xr:revisionPtr revIDLastSave="0" documentId="13_ncr:1_{9A5206BF-9CB3-4168-B687-FC38203927A2}" xr6:coauthVersionLast="47" xr6:coauthVersionMax="47" xr10:uidLastSave="{00000000-0000-0000-0000-000000000000}"/>
  <bookViews>
    <workbookView xWindow="-120" yWindow="-120" windowWidth="29040" windowHeight="15720" xr2:uid="{15E9FAAC-DBB9-46C2-A438-ECB5D8264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B21" i="1"/>
  <c r="C21" i="1"/>
  <c r="C23" i="1" s="1"/>
  <c r="C24" i="1" s="1"/>
  <c r="C25" i="1" s="1"/>
  <c r="C22" i="1"/>
  <c r="B26" i="1"/>
  <c r="B25" i="1"/>
  <c r="B24" i="1"/>
  <c r="H23" i="1"/>
  <c r="K23" i="1"/>
  <c r="B23" i="1"/>
  <c r="D21" i="1"/>
  <c r="E21" i="1"/>
  <c r="F21" i="1"/>
  <c r="F23" i="1" s="1"/>
  <c r="G21" i="1"/>
  <c r="H21" i="1"/>
  <c r="I21" i="1"/>
  <c r="J21" i="1"/>
  <c r="J23" i="1" s="1"/>
  <c r="J24" i="1" s="1"/>
  <c r="J25" i="1" s="1"/>
  <c r="J26" i="1" s="1"/>
  <c r="K21" i="1"/>
  <c r="L21" i="1"/>
  <c r="M21" i="1"/>
  <c r="F17" i="1"/>
  <c r="F18" i="1" s="1"/>
  <c r="F22" i="1" s="1"/>
  <c r="H18" i="1"/>
  <c r="H22" i="1" s="1"/>
  <c r="I18" i="1"/>
  <c r="I22" i="1" s="1"/>
  <c r="K18" i="1"/>
  <c r="K22" i="1" s="1"/>
  <c r="C16" i="1"/>
  <c r="D16" i="1"/>
  <c r="E16" i="1"/>
  <c r="F16" i="1"/>
  <c r="G16" i="1"/>
  <c r="H16" i="1"/>
  <c r="I16" i="1"/>
  <c r="J16" i="1"/>
  <c r="K16" i="1"/>
  <c r="L16" i="1"/>
  <c r="M16" i="1"/>
  <c r="C17" i="1"/>
  <c r="C18" i="1" s="1"/>
  <c r="D17" i="1"/>
  <c r="E17" i="1"/>
  <c r="E18" i="1" s="1"/>
  <c r="E22" i="1" s="1"/>
  <c r="G17" i="1"/>
  <c r="G18" i="1" s="1"/>
  <c r="G22" i="1" s="1"/>
  <c r="H17" i="1"/>
  <c r="I17" i="1"/>
  <c r="J17" i="1"/>
  <c r="J18" i="1" s="1"/>
  <c r="J22" i="1" s="1"/>
  <c r="K17" i="1"/>
  <c r="L17" i="1"/>
  <c r="L18" i="1" s="1"/>
  <c r="L22" i="1" s="1"/>
  <c r="M17" i="1"/>
  <c r="M18" i="1" s="1"/>
  <c r="M22" i="1" s="1"/>
  <c r="M23" i="1" s="1"/>
  <c r="B17" i="1"/>
  <c r="B18" i="1" s="1"/>
  <c r="B22" i="1" s="1"/>
  <c r="B16" i="1"/>
  <c r="G23" i="1" l="1"/>
  <c r="D22" i="1"/>
  <c r="D23" i="1" s="1"/>
  <c r="D24" i="1" s="1"/>
  <c r="D25" i="1" s="1"/>
  <c r="D26" i="1" s="1"/>
  <c r="H24" i="1"/>
  <c r="H25" i="1" s="1"/>
  <c r="H26" i="1" s="1"/>
  <c r="K24" i="1"/>
  <c r="K25" i="1" s="1"/>
  <c r="K26" i="1" s="1"/>
  <c r="L23" i="1"/>
  <c r="I23" i="1"/>
  <c r="I24" i="1" s="1"/>
  <c r="I25" i="1" s="1"/>
  <c r="I26" i="1" s="1"/>
  <c r="E23" i="1"/>
  <c r="E24" i="1" s="1"/>
  <c r="F24" i="1"/>
  <c r="F25" i="1" s="1"/>
  <c r="F26" i="1" s="1"/>
  <c r="M24" i="1"/>
  <c r="M25" i="1"/>
  <c r="M26" i="1" s="1"/>
  <c r="L24" i="1"/>
  <c r="L25" i="1"/>
  <c r="L26" i="1" s="1"/>
  <c r="G24" i="1"/>
  <c r="G25" i="1" s="1"/>
  <c r="G26" i="1" s="1"/>
  <c r="C26" i="1"/>
  <c r="E25" i="1" l="1"/>
  <c r="E26" i="1" s="1"/>
</calcChain>
</file>

<file path=xl/sharedStrings.xml><?xml version="1.0" encoding="utf-8"?>
<sst xmlns="http://schemas.openxmlformats.org/spreadsheetml/2006/main" count="68" uniqueCount="42">
  <si>
    <t>Scenario Building</t>
  </si>
  <si>
    <t>Strategy</t>
  </si>
  <si>
    <t>Solve Buisness Problem</t>
  </si>
  <si>
    <t>Scenario</t>
  </si>
  <si>
    <t>Variuos Solution to our problems</t>
  </si>
  <si>
    <t>https://www.chittorgarh.com/ipo/dr-agarwals-healthcare-ipo/1975/</t>
  </si>
  <si>
    <t>Dr.Aggarwal's Health Care</t>
  </si>
  <si>
    <t>Investment</t>
  </si>
  <si>
    <t>Cr INR</t>
  </si>
  <si>
    <t>Debt/loan</t>
  </si>
  <si>
    <t>Share of Profit</t>
  </si>
  <si>
    <t>p.a.</t>
  </si>
  <si>
    <t>Capital = Equity</t>
  </si>
  <si>
    <t>Scenario 1</t>
  </si>
  <si>
    <t>Scenario 2</t>
  </si>
  <si>
    <t>Scenario 3</t>
  </si>
  <si>
    <t>Scenario 4</t>
  </si>
  <si>
    <t>A</t>
  </si>
  <si>
    <t>B</t>
  </si>
  <si>
    <t>C</t>
  </si>
  <si>
    <t>Equity</t>
  </si>
  <si>
    <t>Loan</t>
  </si>
  <si>
    <t>Equity in Cr INR</t>
  </si>
  <si>
    <t>Loan in Cr INR</t>
  </si>
  <si>
    <t>Interest on Debt Cr INR</t>
  </si>
  <si>
    <t>Sell Price</t>
  </si>
  <si>
    <t>Minus Cost Price</t>
  </si>
  <si>
    <t>Profit</t>
  </si>
  <si>
    <t>Sales</t>
  </si>
  <si>
    <t>Cost Of Sales</t>
  </si>
  <si>
    <t>Profit Before Tax</t>
  </si>
  <si>
    <t>Normal</t>
  </si>
  <si>
    <t>PBT in Cr INR</t>
  </si>
  <si>
    <t>Tax</t>
  </si>
  <si>
    <t>PBIT</t>
  </si>
  <si>
    <t>PBIT in Cr INR</t>
  </si>
  <si>
    <t>PAIT in Cr INR</t>
  </si>
  <si>
    <t>Tax in Cr INR</t>
  </si>
  <si>
    <t>Interest on Loan in Cr INR</t>
  </si>
  <si>
    <t>ROP=(PAIT/Equity Invested)*100</t>
  </si>
  <si>
    <t>Boom</t>
  </si>
  <si>
    <t>Recession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</si>
</sst>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54B0-AA5D-4EB7-B165-964D29750F0E}">
  <dimension ref="A1:M26"/>
  <sheetViews>
    <sheetView tabSelected="1" topLeftCell="C12" zoomScale="160" zoomScaleNormal="160" workbookViewId="0">
      <selection activeCell="M21" sqref="M21"/>
    </sheetView>
  </sheetViews>
  <sheetFormatPr defaultRowHeight="15" x14ac:dyDescent="0.25"/>
  <cols>
    <col min="1" max="1" width="30.140625" customWidth="1"/>
    <col min="2" max="2" width="30.5703125" customWidth="1"/>
    <col min="3" max="3" width="12.5703125" customWidth="1"/>
    <col min="4" max="5" width="10.5703125" customWidth="1"/>
    <col min="6" max="6" width="14.28515625" customWidth="1"/>
    <col min="7" max="7" width="12" customWidth="1"/>
    <col min="8" max="8" width="23" customWidth="1"/>
    <col min="9" max="9" width="17.5703125" customWidth="1"/>
    <col min="10" max="10" width="18.140625" customWidth="1"/>
    <col min="11" max="11" width="18.42578125" customWidth="1"/>
    <col min="12" max="12" width="13.42578125" customWidth="1"/>
    <col min="13" max="13" width="14" customWidth="1"/>
  </cols>
  <sheetData>
    <row r="1" spans="1:13" x14ac:dyDescent="0.25">
      <c r="A1" t="s">
        <v>0</v>
      </c>
      <c r="B1" t="s">
        <v>1</v>
      </c>
    </row>
    <row r="2" spans="1:13" x14ac:dyDescent="0.25">
      <c r="A2" t="s">
        <v>5</v>
      </c>
      <c r="B2" t="s">
        <v>2</v>
      </c>
      <c r="I2" t="s">
        <v>25</v>
      </c>
      <c r="J2" t="s">
        <v>28</v>
      </c>
    </row>
    <row r="3" spans="1:13" x14ac:dyDescent="0.25">
      <c r="I3" t="s">
        <v>26</v>
      </c>
      <c r="J3" t="s">
        <v>29</v>
      </c>
    </row>
    <row r="4" spans="1:13" x14ac:dyDescent="0.25">
      <c r="B4" t="s">
        <v>3</v>
      </c>
      <c r="I4" t="s">
        <v>27</v>
      </c>
      <c r="J4" t="s">
        <v>30</v>
      </c>
    </row>
    <row r="5" spans="1:13" x14ac:dyDescent="0.25">
      <c r="B5" t="s">
        <v>4</v>
      </c>
      <c r="F5" t="s">
        <v>12</v>
      </c>
      <c r="H5" t="s">
        <v>10</v>
      </c>
    </row>
    <row r="6" spans="1:13" x14ac:dyDescent="0.25">
      <c r="F6" t="s">
        <v>9</v>
      </c>
      <c r="G6" s="2">
        <v>0.09</v>
      </c>
      <c r="H6" t="s">
        <v>11</v>
      </c>
    </row>
    <row r="7" spans="1:13" x14ac:dyDescent="0.25">
      <c r="F7" t="s">
        <v>33</v>
      </c>
      <c r="G7" s="2">
        <v>0.3</v>
      </c>
    </row>
    <row r="8" spans="1:13" x14ac:dyDescent="0.25">
      <c r="B8" t="s">
        <v>6</v>
      </c>
    </row>
    <row r="9" spans="1:13" ht="17.25" x14ac:dyDescent="0.3">
      <c r="B9" t="s">
        <v>7</v>
      </c>
      <c r="C9" s="1">
        <v>3000</v>
      </c>
      <c r="D9" t="s">
        <v>8</v>
      </c>
    </row>
    <row r="12" spans="1:13" x14ac:dyDescent="0.25">
      <c r="B12" t="s">
        <v>13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15</v>
      </c>
      <c r="I12" t="s">
        <v>15</v>
      </c>
      <c r="J12" t="s">
        <v>15</v>
      </c>
      <c r="K12" t="s">
        <v>16</v>
      </c>
      <c r="L12" t="s">
        <v>16</v>
      </c>
      <c r="M12" t="s">
        <v>16</v>
      </c>
    </row>
    <row r="13" spans="1:13" x14ac:dyDescent="0.25">
      <c r="B13" t="s">
        <v>17</v>
      </c>
      <c r="C13" t="s">
        <v>18</v>
      </c>
      <c r="D13" t="s">
        <v>19</v>
      </c>
      <c r="E13" t="s">
        <v>17</v>
      </c>
      <c r="F13" t="s">
        <v>18</v>
      </c>
      <c r="G13" t="s">
        <v>19</v>
      </c>
      <c r="H13" t="s">
        <v>17</v>
      </c>
      <c r="I13" t="s">
        <v>18</v>
      </c>
      <c r="J13" t="s">
        <v>19</v>
      </c>
      <c r="K13" t="s">
        <v>17</v>
      </c>
      <c r="L13" t="s">
        <v>18</v>
      </c>
      <c r="M13" t="s">
        <v>19</v>
      </c>
    </row>
    <row r="14" spans="1:13" x14ac:dyDescent="0.25">
      <c r="A14" t="s">
        <v>20</v>
      </c>
      <c r="B14" s="2">
        <v>1</v>
      </c>
      <c r="C14" s="2">
        <v>1</v>
      </c>
      <c r="D14" s="2">
        <v>1</v>
      </c>
      <c r="E14" s="2">
        <v>0.7</v>
      </c>
      <c r="F14" s="2">
        <v>0.7</v>
      </c>
      <c r="G14" s="2">
        <v>0.7</v>
      </c>
      <c r="H14" s="2">
        <v>0.5</v>
      </c>
      <c r="I14" s="2">
        <v>0.5</v>
      </c>
      <c r="J14" s="2">
        <v>0.5</v>
      </c>
      <c r="K14" s="2">
        <v>0.1</v>
      </c>
      <c r="L14" s="2">
        <v>0.1</v>
      </c>
      <c r="M14" s="2">
        <v>0.1</v>
      </c>
    </row>
    <row r="15" spans="1:13" x14ac:dyDescent="0.25">
      <c r="A15" t="s">
        <v>21</v>
      </c>
      <c r="B15" s="2">
        <v>0</v>
      </c>
      <c r="C15" s="2">
        <v>0</v>
      </c>
      <c r="D15" s="2">
        <v>0</v>
      </c>
      <c r="E15" s="2">
        <v>0.3</v>
      </c>
      <c r="F15" s="2">
        <v>0.3</v>
      </c>
      <c r="G15" s="2">
        <v>0.3</v>
      </c>
      <c r="H15" s="2">
        <v>0.5</v>
      </c>
      <c r="I15" s="2">
        <v>0.5</v>
      </c>
      <c r="J15" s="2">
        <v>0.5</v>
      </c>
      <c r="K15" s="2">
        <v>0.9</v>
      </c>
      <c r="L15" s="2">
        <v>0.9</v>
      </c>
      <c r="M15" s="2">
        <v>0.9</v>
      </c>
    </row>
    <row r="16" spans="1:13" x14ac:dyDescent="0.25">
      <c r="A16" t="s">
        <v>22</v>
      </c>
      <c r="B16">
        <f>3000*B14</f>
        <v>3000</v>
      </c>
      <c r="C16">
        <f t="shared" ref="C16:M16" si="0">3000*C14</f>
        <v>3000</v>
      </c>
      <c r="D16">
        <f t="shared" si="0"/>
        <v>3000</v>
      </c>
      <c r="E16">
        <f t="shared" si="0"/>
        <v>2100</v>
      </c>
      <c r="F16">
        <f t="shared" si="0"/>
        <v>2100</v>
      </c>
      <c r="G16">
        <f t="shared" si="0"/>
        <v>2100</v>
      </c>
      <c r="H16">
        <f t="shared" si="0"/>
        <v>1500</v>
      </c>
      <c r="I16">
        <f t="shared" si="0"/>
        <v>1500</v>
      </c>
      <c r="J16">
        <f t="shared" si="0"/>
        <v>1500</v>
      </c>
      <c r="K16">
        <f t="shared" si="0"/>
        <v>300</v>
      </c>
      <c r="L16">
        <f t="shared" si="0"/>
        <v>300</v>
      </c>
      <c r="M16">
        <f t="shared" si="0"/>
        <v>300</v>
      </c>
    </row>
    <row r="17" spans="1:13" x14ac:dyDescent="0.25">
      <c r="A17" t="s">
        <v>23</v>
      </c>
      <c r="B17">
        <f>3000*B15</f>
        <v>0</v>
      </c>
      <c r="C17">
        <f t="shared" ref="C17:M17" si="1">3000*C15</f>
        <v>0</v>
      </c>
      <c r="D17">
        <f t="shared" si="1"/>
        <v>0</v>
      </c>
      <c r="E17">
        <f t="shared" si="1"/>
        <v>900</v>
      </c>
      <c r="F17">
        <f>3000*F15</f>
        <v>900</v>
      </c>
      <c r="G17">
        <f t="shared" si="1"/>
        <v>900</v>
      </c>
      <c r="H17">
        <f t="shared" si="1"/>
        <v>1500</v>
      </c>
      <c r="I17">
        <f t="shared" si="1"/>
        <v>1500</v>
      </c>
      <c r="J17">
        <f t="shared" si="1"/>
        <v>1500</v>
      </c>
      <c r="K17">
        <f t="shared" si="1"/>
        <v>2700</v>
      </c>
      <c r="L17">
        <f t="shared" si="1"/>
        <v>2700</v>
      </c>
      <c r="M17">
        <f t="shared" si="1"/>
        <v>2700</v>
      </c>
    </row>
    <row r="18" spans="1:13" x14ac:dyDescent="0.25">
      <c r="A18" t="s">
        <v>24</v>
      </c>
      <c r="B18">
        <f>$G6*B17</f>
        <v>0</v>
      </c>
      <c r="C18">
        <f t="shared" ref="C18:M18" si="2">$G6*C17</f>
        <v>0</v>
      </c>
      <c r="D18">
        <f t="shared" si="2"/>
        <v>0</v>
      </c>
      <c r="E18">
        <f t="shared" si="2"/>
        <v>81</v>
      </c>
      <c r="F18">
        <f t="shared" si="2"/>
        <v>81</v>
      </c>
      <c r="G18">
        <f t="shared" si="2"/>
        <v>81</v>
      </c>
      <c r="H18">
        <f t="shared" si="2"/>
        <v>135</v>
      </c>
      <c r="I18">
        <f t="shared" si="2"/>
        <v>135</v>
      </c>
      <c r="J18">
        <f t="shared" si="2"/>
        <v>135</v>
      </c>
      <c r="K18">
        <f t="shared" si="2"/>
        <v>243</v>
      </c>
      <c r="L18">
        <f t="shared" si="2"/>
        <v>243</v>
      </c>
      <c r="M18">
        <f t="shared" si="2"/>
        <v>243</v>
      </c>
    </row>
    <row r="19" spans="1:13" x14ac:dyDescent="0.25">
      <c r="B19" t="s">
        <v>31</v>
      </c>
      <c r="C19" t="s">
        <v>40</v>
      </c>
      <c r="D19" t="s">
        <v>41</v>
      </c>
      <c r="E19" t="s">
        <v>31</v>
      </c>
      <c r="F19" t="s">
        <v>40</v>
      </c>
      <c r="G19" t="s">
        <v>41</v>
      </c>
      <c r="H19" t="s">
        <v>31</v>
      </c>
      <c r="I19" t="s">
        <v>40</v>
      </c>
      <c r="J19" t="s">
        <v>41</v>
      </c>
      <c r="K19" t="s">
        <v>31</v>
      </c>
      <c r="L19" t="s">
        <v>40</v>
      </c>
      <c r="M19" t="s">
        <v>41</v>
      </c>
    </row>
    <row r="20" spans="1:13" x14ac:dyDescent="0.25">
      <c r="A20" t="s">
        <v>34</v>
      </c>
      <c r="B20" s="2">
        <v>0.15</v>
      </c>
      <c r="C20" s="2">
        <v>0.2</v>
      </c>
      <c r="D20" s="2">
        <v>0.05</v>
      </c>
      <c r="E20" s="2">
        <v>0.15</v>
      </c>
      <c r="F20" s="2">
        <v>0.2</v>
      </c>
      <c r="G20" s="2">
        <v>0.05</v>
      </c>
      <c r="H20" s="2">
        <v>0.15</v>
      </c>
      <c r="I20" s="2">
        <v>0.2</v>
      </c>
      <c r="J20" s="2">
        <v>0.05</v>
      </c>
      <c r="K20" s="2">
        <v>0.15</v>
      </c>
      <c r="L20" s="2">
        <v>0.2</v>
      </c>
      <c r="M20" s="2">
        <v>0.05</v>
      </c>
    </row>
    <row r="21" spans="1:13" x14ac:dyDescent="0.25">
      <c r="A21" t="s">
        <v>35</v>
      </c>
      <c r="B21">
        <f>B20*$C9</f>
        <v>450</v>
      </c>
      <c r="C21">
        <f>C20*$C9</f>
        <v>600</v>
      </c>
      <c r="D21">
        <f t="shared" ref="C21:M21" si="3">D20*$C9</f>
        <v>150</v>
      </c>
      <c r="E21">
        <f t="shared" si="3"/>
        <v>450</v>
      </c>
      <c r="F21">
        <f t="shared" si="3"/>
        <v>600</v>
      </c>
      <c r="G21">
        <f t="shared" si="3"/>
        <v>150</v>
      </c>
      <c r="H21">
        <f t="shared" si="3"/>
        <v>450</v>
      </c>
      <c r="I21">
        <f t="shared" si="3"/>
        <v>600</v>
      </c>
      <c r="J21">
        <f t="shared" si="3"/>
        <v>150</v>
      </c>
      <c r="K21">
        <f t="shared" si="3"/>
        <v>450</v>
      </c>
      <c r="L21">
        <f t="shared" si="3"/>
        <v>600</v>
      </c>
      <c r="M21">
        <f t="shared" si="3"/>
        <v>150</v>
      </c>
    </row>
    <row r="22" spans="1:13" x14ac:dyDescent="0.25">
      <c r="A22" t="s">
        <v>38</v>
      </c>
      <c r="B22">
        <f>B18</f>
        <v>0</v>
      </c>
      <c r="C22">
        <f>C18</f>
        <v>0</v>
      </c>
      <c r="D22">
        <f t="shared" ref="C22:M22" si="4">D18</f>
        <v>0</v>
      </c>
      <c r="E22">
        <f t="shared" si="4"/>
        <v>81</v>
      </c>
      <c r="F22">
        <f>F18</f>
        <v>81</v>
      </c>
      <c r="G22">
        <f t="shared" si="4"/>
        <v>81</v>
      </c>
      <c r="H22">
        <f t="shared" si="4"/>
        <v>135</v>
      </c>
      <c r="I22">
        <f t="shared" si="4"/>
        <v>135</v>
      </c>
      <c r="J22">
        <f t="shared" si="4"/>
        <v>135</v>
      </c>
      <c r="K22">
        <f t="shared" si="4"/>
        <v>243</v>
      </c>
      <c r="L22">
        <f t="shared" si="4"/>
        <v>243</v>
      </c>
      <c r="M22">
        <f t="shared" si="4"/>
        <v>243</v>
      </c>
    </row>
    <row r="23" spans="1:13" x14ac:dyDescent="0.25">
      <c r="A23" t="s">
        <v>32</v>
      </c>
      <c r="B23">
        <f>B21-B22</f>
        <v>450</v>
      </c>
      <c r="C23">
        <f>C21-C22</f>
        <v>600</v>
      </c>
      <c r="D23">
        <f t="shared" ref="C23:M23" si="5">D21-D22</f>
        <v>150</v>
      </c>
      <c r="E23">
        <f t="shared" si="5"/>
        <v>369</v>
      </c>
      <c r="F23">
        <f t="shared" si="5"/>
        <v>519</v>
      </c>
      <c r="G23">
        <f t="shared" si="5"/>
        <v>69</v>
      </c>
      <c r="H23">
        <f t="shared" si="5"/>
        <v>315</v>
      </c>
      <c r="I23">
        <f t="shared" si="5"/>
        <v>465</v>
      </c>
      <c r="J23">
        <f t="shared" si="5"/>
        <v>15</v>
      </c>
      <c r="K23">
        <f t="shared" si="5"/>
        <v>207</v>
      </c>
      <c r="L23">
        <f t="shared" si="5"/>
        <v>357</v>
      </c>
      <c r="M23">
        <f t="shared" si="5"/>
        <v>-93</v>
      </c>
    </row>
    <row r="24" spans="1:13" x14ac:dyDescent="0.25">
      <c r="A24" t="s">
        <v>37</v>
      </c>
      <c r="B24">
        <f>$G7*B23</f>
        <v>135</v>
      </c>
      <c r="C24">
        <f>$G7*C23</f>
        <v>180</v>
      </c>
      <c r="D24">
        <f t="shared" ref="C24:M24" si="6">$G7*D23</f>
        <v>45</v>
      </c>
      <c r="E24">
        <f t="shared" si="6"/>
        <v>110.7</v>
      </c>
      <c r="F24">
        <f t="shared" si="6"/>
        <v>155.69999999999999</v>
      </c>
      <c r="G24">
        <f t="shared" si="6"/>
        <v>20.7</v>
      </c>
      <c r="H24">
        <f t="shared" si="6"/>
        <v>94.5</v>
      </c>
      <c r="I24">
        <f t="shared" si="6"/>
        <v>139.5</v>
      </c>
      <c r="J24">
        <f t="shared" si="6"/>
        <v>4.5</v>
      </c>
      <c r="K24">
        <f t="shared" si="6"/>
        <v>62.099999999999994</v>
      </c>
      <c r="L24">
        <f t="shared" si="6"/>
        <v>107.1</v>
      </c>
      <c r="M24">
        <f t="shared" si="6"/>
        <v>-27.9</v>
      </c>
    </row>
    <row r="25" spans="1:13" x14ac:dyDescent="0.25">
      <c r="A25" t="s">
        <v>36</v>
      </c>
      <c r="B25">
        <f>B23-B24</f>
        <v>315</v>
      </c>
      <c r="C25">
        <f t="shared" ref="C25:M25" si="7">C23-C24</f>
        <v>420</v>
      </c>
      <c r="D25">
        <f t="shared" si="7"/>
        <v>105</v>
      </c>
      <c r="E25">
        <f t="shared" si="7"/>
        <v>258.3</v>
      </c>
      <c r="F25">
        <f t="shared" si="7"/>
        <v>363.3</v>
      </c>
      <c r="G25">
        <f t="shared" si="7"/>
        <v>48.3</v>
      </c>
      <c r="H25">
        <f t="shared" si="7"/>
        <v>220.5</v>
      </c>
      <c r="I25">
        <f t="shared" si="7"/>
        <v>325.5</v>
      </c>
      <c r="J25">
        <f t="shared" si="7"/>
        <v>10.5</v>
      </c>
      <c r="K25">
        <f t="shared" si="7"/>
        <v>144.9</v>
      </c>
      <c r="L25">
        <f t="shared" si="7"/>
        <v>249.9</v>
      </c>
      <c r="M25">
        <f t="shared" si="7"/>
        <v>-65.099999999999994</v>
      </c>
    </row>
    <row r="26" spans="1:13" x14ac:dyDescent="0.25">
      <c r="A26" t="s">
        <v>39</v>
      </c>
      <c r="B26">
        <f>(B25/B16)*100</f>
        <v>10.5</v>
      </c>
      <c r="C26">
        <f t="shared" ref="C26:M26" si="8">(C25/C16)*100</f>
        <v>14.000000000000002</v>
      </c>
      <c r="D26">
        <f t="shared" si="8"/>
        <v>3.5000000000000004</v>
      </c>
      <c r="E26">
        <f t="shared" si="8"/>
        <v>12.3</v>
      </c>
      <c r="F26">
        <f t="shared" si="8"/>
        <v>17.3</v>
      </c>
      <c r="G26">
        <f t="shared" si="8"/>
        <v>2.2999999999999998</v>
      </c>
      <c r="H26">
        <f t="shared" si="8"/>
        <v>14.7</v>
      </c>
      <c r="I26">
        <f t="shared" si="8"/>
        <v>21.7</v>
      </c>
      <c r="J26">
        <f t="shared" si="8"/>
        <v>0.70000000000000007</v>
      </c>
      <c r="K26">
        <f t="shared" si="8"/>
        <v>48.300000000000004</v>
      </c>
      <c r="L26">
        <f t="shared" si="8"/>
        <v>83.300000000000011</v>
      </c>
      <c r="M26">
        <f t="shared" si="8"/>
        <v>-21.699999999999996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2025-06-12T13:09:02Z</dcterms:created>
  <dcterms:modified xsi:type="dcterms:W3CDTF">2025-06-12T14:24:37Z</dcterms:modified>
</cp:coreProperties>
</file>