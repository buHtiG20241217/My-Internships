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esktop\2.Finlatics\3.Hands On Exercise\3.Live Sessions\4.Regression using Excel\"/>
    </mc:Choice>
  </mc:AlternateContent>
  <xr:revisionPtr revIDLastSave="0" documentId="13_ncr:1_{3F7E3C86-2BEE-4287-B7BF-E5C7B3FDFE03}" xr6:coauthVersionLast="47" xr6:coauthVersionMax="47" xr10:uidLastSave="{00000000-0000-0000-0000-000000000000}"/>
  <bookViews>
    <workbookView xWindow="-120" yWindow="-120" windowWidth="29040" windowHeight="15720" xr2:uid="{21087FC7-D501-4494-81BE-A42B33733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6" i="1"/>
  <c r="A22" i="1"/>
  <c r="A21" i="1"/>
  <c r="A20" i="1"/>
  <c r="A19" i="1"/>
  <c r="F5" i="1"/>
  <c r="F4" i="1"/>
  <c r="F1" i="1"/>
</calcChain>
</file>

<file path=xl/sharedStrings.xml><?xml version="1.0" encoding="utf-8"?>
<sst xmlns="http://schemas.openxmlformats.org/spreadsheetml/2006/main" count="13" uniqueCount="11">
  <si>
    <t>correlation</t>
  </si>
  <si>
    <t>a</t>
  </si>
  <si>
    <t>Sales (Y)</t>
  </si>
  <si>
    <t>Adverising (X)</t>
  </si>
  <si>
    <t>b</t>
  </si>
  <si>
    <t>Line of Best Fit</t>
  </si>
  <si>
    <t>Y = a + bX + error term</t>
  </si>
  <si>
    <t>X</t>
  </si>
  <si>
    <t>Y</t>
  </si>
  <si>
    <t>Correlation</t>
  </si>
  <si>
    <t>Y = a + b*X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</si>
</sst>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Sheet1!$A$2:$A$16</c:f>
              <c:numCache>
                <c:formatCode>General</c:formatCode>
                <c:ptCount val="15"/>
                <c:pt idx="0">
                  <c:v>234</c:v>
                </c:pt>
                <c:pt idx="1">
                  <c:v>545</c:v>
                </c:pt>
                <c:pt idx="2">
                  <c:v>546</c:v>
                </c:pt>
                <c:pt idx="3">
                  <c:v>343</c:v>
                </c:pt>
                <c:pt idx="4">
                  <c:v>453</c:v>
                </c:pt>
                <c:pt idx="5">
                  <c:v>232</c:v>
                </c:pt>
                <c:pt idx="6">
                  <c:v>545</c:v>
                </c:pt>
                <c:pt idx="7">
                  <c:v>676</c:v>
                </c:pt>
                <c:pt idx="8">
                  <c:v>457</c:v>
                </c:pt>
                <c:pt idx="9">
                  <c:v>755</c:v>
                </c:pt>
                <c:pt idx="10">
                  <c:v>466</c:v>
                </c:pt>
                <c:pt idx="11">
                  <c:v>676</c:v>
                </c:pt>
                <c:pt idx="12">
                  <c:v>754</c:v>
                </c:pt>
                <c:pt idx="13">
                  <c:v>767</c:v>
                </c:pt>
                <c:pt idx="14">
                  <c:v>767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124</c:v>
                </c:pt>
                <c:pt idx="1">
                  <c:v>343</c:v>
                </c:pt>
                <c:pt idx="2">
                  <c:v>343</c:v>
                </c:pt>
                <c:pt idx="3">
                  <c:v>234</c:v>
                </c:pt>
                <c:pt idx="4">
                  <c:v>333</c:v>
                </c:pt>
                <c:pt idx="5">
                  <c:v>156</c:v>
                </c:pt>
                <c:pt idx="6">
                  <c:v>422</c:v>
                </c:pt>
                <c:pt idx="7">
                  <c:v>556</c:v>
                </c:pt>
                <c:pt idx="8">
                  <c:v>233</c:v>
                </c:pt>
                <c:pt idx="9">
                  <c:v>432</c:v>
                </c:pt>
                <c:pt idx="10">
                  <c:v>444</c:v>
                </c:pt>
                <c:pt idx="11">
                  <c:v>244</c:v>
                </c:pt>
                <c:pt idx="12">
                  <c:v>253</c:v>
                </c:pt>
                <c:pt idx="13">
                  <c:v>324</c:v>
                </c:pt>
                <c:pt idx="14">
                  <c:v>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4-4AD5-A806-E4B0A3447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192655"/>
        <c:axId val="242188815"/>
      </c:scatterChart>
      <c:valAx>
        <c:axId val="24219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88815"/>
        <c:crosses val="autoZero"/>
        <c:crossBetween val="midCat"/>
      </c:valAx>
      <c:valAx>
        <c:axId val="24218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9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Sheet1!$A$27:$A$38</c:f>
              <c:numCache>
                <c:formatCode>General</c:formatCode>
                <c:ptCount val="12"/>
                <c:pt idx="0">
                  <c:v>14.2</c:v>
                </c:pt>
                <c:pt idx="1">
                  <c:v>16.399999999999999</c:v>
                </c:pt>
                <c:pt idx="2">
                  <c:v>11.9</c:v>
                </c:pt>
                <c:pt idx="3">
                  <c:v>15.2</c:v>
                </c:pt>
                <c:pt idx="4">
                  <c:v>18.5</c:v>
                </c:pt>
                <c:pt idx="5">
                  <c:v>22.1</c:v>
                </c:pt>
                <c:pt idx="6">
                  <c:v>19.399999999999999</c:v>
                </c:pt>
                <c:pt idx="7">
                  <c:v>25.1</c:v>
                </c:pt>
                <c:pt idx="8">
                  <c:v>23.4</c:v>
                </c:pt>
                <c:pt idx="9">
                  <c:v>18.100000000000001</c:v>
                </c:pt>
                <c:pt idx="10">
                  <c:v>22.6</c:v>
                </c:pt>
                <c:pt idx="11">
                  <c:v>17.2</c:v>
                </c:pt>
              </c:numCache>
            </c:numRef>
          </c:xVal>
          <c:yVal>
            <c:numRef>
              <c:f>Sheet1!$B$27:$B$38</c:f>
              <c:numCache>
                <c:formatCode>General</c:formatCode>
                <c:ptCount val="12"/>
                <c:pt idx="0">
                  <c:v>215</c:v>
                </c:pt>
                <c:pt idx="1">
                  <c:v>325</c:v>
                </c:pt>
                <c:pt idx="2">
                  <c:v>185</c:v>
                </c:pt>
                <c:pt idx="3">
                  <c:v>332</c:v>
                </c:pt>
                <c:pt idx="4">
                  <c:v>406</c:v>
                </c:pt>
                <c:pt idx="5">
                  <c:v>522</c:v>
                </c:pt>
                <c:pt idx="6">
                  <c:v>412</c:v>
                </c:pt>
                <c:pt idx="7">
                  <c:v>614</c:v>
                </c:pt>
                <c:pt idx="8">
                  <c:v>544</c:v>
                </c:pt>
                <c:pt idx="9">
                  <c:v>421</c:v>
                </c:pt>
                <c:pt idx="10">
                  <c:v>445</c:v>
                </c:pt>
                <c:pt idx="11">
                  <c:v>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1-4B51-A5FB-79707285D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408543"/>
        <c:axId val="349405663"/>
      </c:scatterChart>
      <c:valAx>
        <c:axId val="34940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405663"/>
        <c:crosses val="autoZero"/>
        <c:crossBetween val="midCat"/>
      </c:valAx>
      <c:valAx>
        <c:axId val="34940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40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12</xdr:col>
      <xdr:colOff>581025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3603B8-E708-7C3F-65B9-CD7DAB648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25</xdr:row>
      <xdr:rowOff>14287</xdr:rowOff>
    </xdr:from>
    <xdr:to>
      <xdr:col>13</xdr:col>
      <xdr:colOff>342900</xdr:colOff>
      <xdr:row>39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8ACAAE-9519-7CD4-9E1E-A14190EA4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9315-AA52-4379-86F5-769E1C85908B}">
  <dimension ref="A1:F38"/>
  <sheetViews>
    <sheetView tabSelected="1" topLeftCell="A10" workbookViewId="0">
      <selection activeCell="V19" sqref="V19"/>
    </sheetView>
  </sheetViews>
  <sheetFormatPr defaultRowHeight="15" x14ac:dyDescent="0.25"/>
  <cols>
    <col min="1" max="1" width="18.140625" customWidth="1"/>
    <col min="2" max="2" width="18" customWidth="1"/>
    <col min="5" max="5" width="21.140625" customWidth="1"/>
    <col min="6" max="6" width="18.5703125" customWidth="1"/>
  </cols>
  <sheetData>
    <row r="1" spans="1:6" x14ac:dyDescent="0.25">
      <c r="A1" t="s">
        <v>2</v>
      </c>
      <c r="B1" t="s">
        <v>3</v>
      </c>
      <c r="E1" t="s">
        <v>0</v>
      </c>
      <c r="F1">
        <f>CORREL(A2:A16,B2:B16)</f>
        <v>0.5467665179613671</v>
      </c>
    </row>
    <row r="2" spans="1:6" x14ac:dyDescent="0.25">
      <c r="A2">
        <v>234</v>
      </c>
      <c r="B2">
        <v>124</v>
      </c>
      <c r="E2" t="s">
        <v>6</v>
      </c>
    </row>
    <row r="3" spans="1:6" x14ac:dyDescent="0.25">
      <c r="A3">
        <v>545</v>
      </c>
      <c r="B3">
        <v>343</v>
      </c>
    </row>
    <row r="4" spans="1:6" x14ac:dyDescent="0.25">
      <c r="A4">
        <v>546</v>
      </c>
      <c r="B4">
        <v>343</v>
      </c>
      <c r="E4" t="s">
        <v>1</v>
      </c>
      <c r="F4">
        <f>INTERCEPT(A2:A16,B2:B16)</f>
        <v>268.23258831279281</v>
      </c>
    </row>
    <row r="5" spans="1:6" x14ac:dyDescent="0.25">
      <c r="A5">
        <v>343</v>
      </c>
      <c r="B5">
        <v>234</v>
      </c>
      <c r="E5" t="s">
        <v>4</v>
      </c>
      <c r="F5">
        <f>SLOPE(A2:A16,B2:B16)</f>
        <v>0.875994813060616</v>
      </c>
    </row>
    <row r="6" spans="1:6" x14ac:dyDescent="0.25">
      <c r="A6">
        <v>453</v>
      </c>
      <c r="B6">
        <v>333</v>
      </c>
    </row>
    <row r="7" spans="1:6" x14ac:dyDescent="0.25">
      <c r="A7">
        <v>232</v>
      </c>
      <c r="B7">
        <v>156</v>
      </c>
    </row>
    <row r="8" spans="1:6" x14ac:dyDescent="0.25">
      <c r="A8">
        <v>545</v>
      </c>
      <c r="B8">
        <v>422</v>
      </c>
    </row>
    <row r="9" spans="1:6" x14ac:dyDescent="0.25">
      <c r="A9">
        <v>676</v>
      </c>
      <c r="B9">
        <v>556</v>
      </c>
    </row>
    <row r="10" spans="1:6" x14ac:dyDescent="0.25">
      <c r="A10">
        <v>457</v>
      </c>
      <c r="B10">
        <v>233</v>
      </c>
    </row>
    <row r="11" spans="1:6" x14ac:dyDescent="0.25">
      <c r="A11">
        <v>755</v>
      </c>
      <c r="B11">
        <v>432</v>
      </c>
    </row>
    <row r="12" spans="1:6" x14ac:dyDescent="0.25">
      <c r="A12">
        <v>466</v>
      </c>
      <c r="B12">
        <v>444</v>
      </c>
    </row>
    <row r="13" spans="1:6" x14ac:dyDescent="0.25">
      <c r="A13">
        <v>676</v>
      </c>
      <c r="B13">
        <v>244</v>
      </c>
    </row>
    <row r="14" spans="1:6" x14ac:dyDescent="0.25">
      <c r="A14">
        <v>754</v>
      </c>
      <c r="B14">
        <v>253</v>
      </c>
    </row>
    <row r="15" spans="1:6" x14ac:dyDescent="0.25">
      <c r="A15">
        <v>767</v>
      </c>
      <c r="B15">
        <v>324</v>
      </c>
    </row>
    <row r="16" spans="1:6" x14ac:dyDescent="0.25">
      <c r="A16">
        <v>767</v>
      </c>
      <c r="B16">
        <v>345</v>
      </c>
    </row>
    <row r="18" spans="1:6" x14ac:dyDescent="0.25">
      <c r="F18" t="s">
        <v>5</v>
      </c>
    </row>
    <row r="19" spans="1:6" x14ac:dyDescent="0.25">
      <c r="A19">
        <f>$F4+($F5*B19)</f>
        <v>1144.2274013734088</v>
      </c>
      <c r="B19">
        <v>1000</v>
      </c>
    </row>
    <row r="20" spans="1:6" x14ac:dyDescent="0.25">
      <c r="A20">
        <f>F4+(F5*B20)</f>
        <v>2020.2222144340249</v>
      </c>
      <c r="B20">
        <v>2000</v>
      </c>
    </row>
    <row r="21" spans="1:6" x14ac:dyDescent="0.25">
      <c r="A21">
        <f>$F$4+($F$5*B21)</f>
        <v>2896.2170274946407</v>
      </c>
      <c r="B21">
        <v>3000</v>
      </c>
    </row>
    <row r="22" spans="1:6" x14ac:dyDescent="0.25">
      <c r="A22">
        <f>$F$4+($F$5*B22)</f>
        <v>3772.2118405552569</v>
      </c>
      <c r="B22">
        <v>4000</v>
      </c>
    </row>
    <row r="26" spans="1:6" x14ac:dyDescent="0.25">
      <c r="A26" t="s">
        <v>7</v>
      </c>
      <c r="B26" t="s">
        <v>8</v>
      </c>
      <c r="E26" t="s">
        <v>9</v>
      </c>
      <c r="F26">
        <f>CORREL(A27:A38,B27:B38)</f>
        <v>0.95750662300159528</v>
      </c>
    </row>
    <row r="27" spans="1:6" x14ac:dyDescent="0.25">
      <c r="A27">
        <v>14.2</v>
      </c>
      <c r="B27">
        <v>215</v>
      </c>
    </row>
    <row r="28" spans="1:6" x14ac:dyDescent="0.25">
      <c r="A28">
        <v>16.399999999999999</v>
      </c>
      <c r="B28">
        <v>325</v>
      </c>
      <c r="E28" t="s">
        <v>10</v>
      </c>
    </row>
    <row r="29" spans="1:6" x14ac:dyDescent="0.25">
      <c r="A29">
        <v>11.9</v>
      </c>
      <c r="B29">
        <v>185</v>
      </c>
    </row>
    <row r="30" spans="1:6" x14ac:dyDescent="0.25">
      <c r="A30">
        <v>15.2</v>
      </c>
      <c r="B30">
        <v>332</v>
      </c>
      <c r="E30" t="s">
        <v>1</v>
      </c>
      <c r="F30">
        <f>INTERCEPT(B27:B38,A27:A38)</f>
        <v>-159.47415234086242</v>
      </c>
    </row>
    <row r="31" spans="1:6" x14ac:dyDescent="0.25">
      <c r="A31">
        <v>18.5</v>
      </c>
      <c r="B31">
        <v>406</v>
      </c>
      <c r="E31" t="s">
        <v>4</v>
      </c>
      <c r="F31">
        <f>SLOPE(B27:B38,A27:A38)</f>
        <v>30.0878617942452</v>
      </c>
    </row>
    <row r="32" spans="1:6" x14ac:dyDescent="0.25">
      <c r="A32">
        <v>22.1</v>
      </c>
      <c r="B32">
        <v>522</v>
      </c>
    </row>
    <row r="33" spans="1:2" x14ac:dyDescent="0.25">
      <c r="A33">
        <v>19.399999999999999</v>
      </c>
      <c r="B33">
        <v>412</v>
      </c>
    </row>
    <row r="34" spans="1:2" x14ac:dyDescent="0.25">
      <c r="A34">
        <v>25.1</v>
      </c>
      <c r="B34">
        <v>614</v>
      </c>
    </row>
    <row r="35" spans="1:2" x14ac:dyDescent="0.25">
      <c r="A35">
        <v>23.4</v>
      </c>
      <c r="B35">
        <v>544</v>
      </c>
    </row>
    <row r="36" spans="1:2" x14ac:dyDescent="0.25">
      <c r="A36">
        <v>18.100000000000001</v>
      </c>
      <c r="B36">
        <v>421</v>
      </c>
    </row>
    <row r="37" spans="1:2" x14ac:dyDescent="0.25">
      <c r="A37">
        <v>22.6</v>
      </c>
      <c r="B37">
        <v>445</v>
      </c>
    </row>
    <row r="38" spans="1:2" x14ac:dyDescent="0.25">
      <c r="A38">
        <v>17.2</v>
      </c>
      <c r="B38">
        <v>408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Kiran</cp:lastModifiedBy>
  <dcterms:created xsi:type="dcterms:W3CDTF">2025-06-12T19:25:58Z</dcterms:created>
  <dcterms:modified xsi:type="dcterms:W3CDTF">2025-06-13T13:15:46Z</dcterms:modified>
</cp:coreProperties>
</file>