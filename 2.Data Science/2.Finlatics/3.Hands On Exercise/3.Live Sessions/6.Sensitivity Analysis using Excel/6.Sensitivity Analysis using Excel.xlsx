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esktop\2.Finlatics\3.Hands On Exercise\3.Live Sessions\6.Sensitivity Analysis using Excel\"/>
    </mc:Choice>
  </mc:AlternateContent>
  <xr:revisionPtr revIDLastSave="0" documentId="13_ncr:1_{2C221858-2E64-4433-ACC2-ABF718F324B9}" xr6:coauthVersionLast="47" xr6:coauthVersionMax="47" xr10:uidLastSave="{00000000-0000-0000-0000-000000000000}"/>
  <bookViews>
    <workbookView xWindow="-120" yWindow="-120" windowWidth="29040" windowHeight="15720" xr2:uid="{389ECC2D-F193-41A5-93ED-11CDE29F8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9" i="1" l="1"/>
  <c r="E68" i="1"/>
  <c r="C68" i="1"/>
  <c r="D68" i="1"/>
  <c r="B68" i="1"/>
  <c r="D67" i="1"/>
  <c r="C65" i="1"/>
  <c r="C63" i="1"/>
  <c r="E63" i="1"/>
  <c r="D65" i="1"/>
  <c r="E65" i="1" s="1"/>
  <c r="E69" i="1" s="1"/>
  <c r="B65" i="1"/>
  <c r="D64" i="1"/>
  <c r="E66" i="1"/>
  <c r="C66" i="1"/>
  <c r="B56" i="1"/>
  <c r="B55" i="1"/>
  <c r="E54" i="1"/>
  <c r="C54" i="1"/>
  <c r="E53" i="1"/>
  <c r="C53" i="1"/>
  <c r="C52" i="1"/>
  <c r="E51" i="1"/>
  <c r="C51" i="1"/>
  <c r="D50" i="1"/>
  <c r="B50" i="1"/>
  <c r="B49" i="1"/>
  <c r="B40" i="1"/>
  <c r="B39" i="1"/>
  <c r="E38" i="1"/>
  <c r="C38" i="1"/>
  <c r="E37" i="1"/>
  <c r="C37" i="1"/>
  <c r="E36" i="1"/>
  <c r="C36" i="1"/>
  <c r="Q20" i="1"/>
  <c r="Q21" i="1"/>
  <c r="Q22" i="1"/>
  <c r="Q23" i="1"/>
  <c r="Q19" i="1"/>
  <c r="R7" i="1"/>
  <c r="R8" i="1"/>
  <c r="R9" i="1"/>
  <c r="R10" i="1"/>
  <c r="R11" i="1"/>
  <c r="B70" i="1" l="1"/>
  <c r="B71" i="1" s="1"/>
</calcChain>
</file>

<file path=xl/sharedStrings.xml><?xml version="1.0" encoding="utf-8"?>
<sst xmlns="http://schemas.openxmlformats.org/spreadsheetml/2006/main" count="85" uniqueCount="60">
  <si>
    <t>Sensitivity Analysis</t>
  </si>
  <si>
    <t>marks of a class 8th student</t>
  </si>
  <si>
    <t>lack of concentration</t>
  </si>
  <si>
    <t>offline and online discrepancy</t>
  </si>
  <si>
    <t>health of student</t>
  </si>
  <si>
    <t>lack of understanding</t>
  </si>
  <si>
    <t>usage of social media</t>
  </si>
  <si>
    <t>difficulty of the subject</t>
  </si>
  <si>
    <t>financial condition of student</t>
  </si>
  <si>
    <t>faculty teaching</t>
  </si>
  <si>
    <t>peer pressure</t>
  </si>
  <si>
    <t>sibling pressure</t>
  </si>
  <si>
    <t>others</t>
  </si>
  <si>
    <t>attendance</t>
  </si>
  <si>
    <t>marks</t>
  </si>
  <si>
    <t>discount in SP</t>
  </si>
  <si>
    <t>Increase in Sales</t>
  </si>
  <si>
    <t>temperature</t>
  </si>
  <si>
    <t>sales of A/C</t>
  </si>
  <si>
    <t>sales of ice cream</t>
  </si>
  <si>
    <t>rate of interest</t>
  </si>
  <si>
    <t>loans</t>
  </si>
  <si>
    <t>deposits</t>
  </si>
  <si>
    <t>Selling Price</t>
  </si>
  <si>
    <t>Minus Cost Price</t>
  </si>
  <si>
    <t>Profit</t>
  </si>
  <si>
    <t>Costs</t>
  </si>
  <si>
    <t>Variable Cost</t>
  </si>
  <si>
    <t>fixed cost</t>
  </si>
  <si>
    <t>per unit</t>
  </si>
  <si>
    <t>Total variable Cost</t>
  </si>
  <si>
    <t>Total (Variable Cost per unit * units)</t>
  </si>
  <si>
    <t>Fixed Cost per unit</t>
  </si>
  <si>
    <t>Total Fixed Cost</t>
  </si>
  <si>
    <t>Toy Manufacturing</t>
  </si>
  <si>
    <t>No. of units</t>
  </si>
  <si>
    <t>Car</t>
  </si>
  <si>
    <t>Dolls</t>
  </si>
  <si>
    <t>VC</t>
  </si>
  <si>
    <t>FC</t>
  </si>
  <si>
    <t>Contributions</t>
  </si>
  <si>
    <t>Total Contribution</t>
  </si>
  <si>
    <t>Minus FC=Profit</t>
  </si>
  <si>
    <t>CASE 2</t>
  </si>
  <si>
    <t>CASE 1</t>
  </si>
  <si>
    <t>The CEO is thinking to give a discount of 20% on car toy. That it will increase the sales by 10%. Should the CEO take this decision</t>
  </si>
  <si>
    <t>Discount</t>
  </si>
  <si>
    <t>Car Toy</t>
  </si>
  <si>
    <t>No. of units to produce</t>
  </si>
  <si>
    <t>Total No. of units</t>
  </si>
  <si>
    <t>Discounted Price</t>
  </si>
  <si>
    <t>Minus FC = Profit</t>
  </si>
  <si>
    <t>Doll Toy</t>
  </si>
  <si>
    <t>VC %</t>
  </si>
  <si>
    <t>Increase in SP</t>
  </si>
  <si>
    <t>Increase in Selling Price</t>
  </si>
  <si>
    <t>New Selling Price</t>
  </si>
  <si>
    <t>Increase in VC</t>
  </si>
  <si>
    <t>New VC</t>
  </si>
  <si>
    <t>The CEO is thinking to increase the SP of doll toy by 20% as the VC of the doll has gone up by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</si>
</sst>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1E83-4C4A-4147-8686-D1B8E61221BE}">
  <dimension ref="A1:R71"/>
  <sheetViews>
    <sheetView tabSelected="1" topLeftCell="A42" workbookViewId="0">
      <selection activeCell="H63" sqref="H63"/>
    </sheetView>
  </sheetViews>
  <sheetFormatPr defaultRowHeight="15" x14ac:dyDescent="0.25"/>
  <cols>
    <col min="1" max="1" width="27.140625" customWidth="1"/>
    <col min="2" max="2" width="10.7109375" customWidth="1"/>
    <col min="7" max="7" width="15.7109375" customWidth="1"/>
    <col min="10" max="10" width="11.7109375" customWidth="1"/>
    <col min="11" max="11" width="17.85546875" customWidth="1"/>
    <col min="12" max="12" width="18" customWidth="1"/>
    <col min="15" max="15" width="18.42578125" customWidth="1"/>
    <col min="17" max="17" width="18.42578125" customWidth="1"/>
    <col min="18" max="18" width="32.5703125" customWidth="1"/>
  </cols>
  <sheetData>
    <row r="1" spans="1:18" x14ac:dyDescent="0.25">
      <c r="A1" t="s">
        <v>0</v>
      </c>
    </row>
    <row r="2" spans="1:18" x14ac:dyDescent="0.25">
      <c r="K2" t="s">
        <v>13</v>
      </c>
      <c r="L2" t="s">
        <v>14</v>
      </c>
      <c r="O2" t="s">
        <v>23</v>
      </c>
    </row>
    <row r="3" spans="1:18" x14ac:dyDescent="0.25">
      <c r="A3" t="s">
        <v>1</v>
      </c>
      <c r="C3" s="1">
        <v>0.52</v>
      </c>
      <c r="O3" t="s">
        <v>24</v>
      </c>
    </row>
    <row r="4" spans="1:18" x14ac:dyDescent="0.25">
      <c r="K4" t="s">
        <v>15</v>
      </c>
      <c r="L4" t="s">
        <v>16</v>
      </c>
      <c r="O4" t="s">
        <v>25</v>
      </c>
    </row>
    <row r="5" spans="1:18" x14ac:dyDescent="0.25">
      <c r="A5" t="s">
        <v>2</v>
      </c>
      <c r="Q5" t="s">
        <v>27</v>
      </c>
      <c r="R5" t="s">
        <v>30</v>
      </c>
    </row>
    <row r="6" spans="1:18" x14ac:dyDescent="0.25">
      <c r="A6" t="s">
        <v>3</v>
      </c>
      <c r="K6" t="s">
        <v>17</v>
      </c>
      <c r="L6" t="s">
        <v>18</v>
      </c>
      <c r="O6" t="s">
        <v>26</v>
      </c>
      <c r="Q6" t="s">
        <v>29</v>
      </c>
      <c r="R6" t="s">
        <v>31</v>
      </c>
    </row>
    <row r="7" spans="1:18" x14ac:dyDescent="0.25">
      <c r="A7" t="s">
        <v>4</v>
      </c>
      <c r="O7" t="s">
        <v>27</v>
      </c>
      <c r="P7">
        <v>1</v>
      </c>
      <c r="Q7">
        <v>20</v>
      </c>
      <c r="R7">
        <f>P7*Q7</f>
        <v>20</v>
      </c>
    </row>
    <row r="8" spans="1:18" x14ac:dyDescent="0.25">
      <c r="A8" t="s">
        <v>5</v>
      </c>
      <c r="K8" t="s">
        <v>17</v>
      </c>
      <c r="L8" t="s">
        <v>19</v>
      </c>
      <c r="P8">
        <v>2</v>
      </c>
      <c r="Q8">
        <v>20</v>
      </c>
      <c r="R8">
        <f t="shared" ref="R8:R11" si="0">P8*Q8</f>
        <v>40</v>
      </c>
    </row>
    <row r="9" spans="1:18" x14ac:dyDescent="0.25">
      <c r="A9" t="s">
        <v>6</v>
      </c>
      <c r="P9">
        <v>3</v>
      </c>
      <c r="Q9">
        <v>20</v>
      </c>
      <c r="R9">
        <f t="shared" si="0"/>
        <v>60</v>
      </c>
    </row>
    <row r="10" spans="1:18" x14ac:dyDescent="0.25">
      <c r="A10" t="s">
        <v>7</v>
      </c>
      <c r="K10" t="s">
        <v>20</v>
      </c>
      <c r="L10" t="s">
        <v>21</v>
      </c>
      <c r="P10">
        <v>400</v>
      </c>
      <c r="Q10">
        <v>20</v>
      </c>
      <c r="R10">
        <f t="shared" si="0"/>
        <v>8000</v>
      </c>
    </row>
    <row r="11" spans="1:18" x14ac:dyDescent="0.25">
      <c r="A11" t="s">
        <v>8</v>
      </c>
      <c r="L11" t="s">
        <v>22</v>
      </c>
      <c r="P11">
        <v>5000</v>
      </c>
      <c r="Q11">
        <v>20</v>
      </c>
      <c r="R11">
        <f t="shared" si="0"/>
        <v>100000</v>
      </c>
    </row>
    <row r="12" spans="1:18" x14ac:dyDescent="0.25">
      <c r="A12" t="s">
        <v>9</v>
      </c>
    </row>
    <row r="13" spans="1:18" x14ac:dyDescent="0.25">
      <c r="A13" t="s">
        <v>10</v>
      </c>
    </row>
    <row r="14" spans="1:18" x14ac:dyDescent="0.25">
      <c r="A14" t="s">
        <v>11</v>
      </c>
    </row>
    <row r="15" spans="1:18" x14ac:dyDescent="0.25">
      <c r="A15" t="s">
        <v>12</v>
      </c>
    </row>
    <row r="18" spans="1:18" x14ac:dyDescent="0.25">
      <c r="O18" t="s">
        <v>28</v>
      </c>
      <c r="Q18" t="s">
        <v>32</v>
      </c>
      <c r="R18" t="s">
        <v>33</v>
      </c>
    </row>
    <row r="19" spans="1:18" x14ac:dyDescent="0.25">
      <c r="O19">
        <v>100000</v>
      </c>
      <c r="P19">
        <v>1</v>
      </c>
      <c r="Q19">
        <f>R19/P19</f>
        <v>100000</v>
      </c>
      <c r="R19">
        <v>100000</v>
      </c>
    </row>
    <row r="20" spans="1:18" x14ac:dyDescent="0.25">
      <c r="P20">
        <v>2</v>
      </c>
      <c r="Q20">
        <f t="shared" ref="Q20:Q23" si="1">R20/P20</f>
        <v>50000</v>
      </c>
      <c r="R20">
        <v>100000</v>
      </c>
    </row>
    <row r="21" spans="1:18" x14ac:dyDescent="0.25">
      <c r="P21">
        <v>3</v>
      </c>
      <c r="Q21">
        <f t="shared" si="1"/>
        <v>33333.333333333336</v>
      </c>
      <c r="R21">
        <v>100000</v>
      </c>
    </row>
    <row r="22" spans="1:18" x14ac:dyDescent="0.25">
      <c r="P22">
        <v>400</v>
      </c>
      <c r="Q22">
        <f t="shared" si="1"/>
        <v>250</v>
      </c>
      <c r="R22">
        <v>100000</v>
      </c>
    </row>
    <row r="23" spans="1:18" x14ac:dyDescent="0.25">
      <c r="P23">
        <v>5000</v>
      </c>
      <c r="Q23">
        <f t="shared" si="1"/>
        <v>20</v>
      </c>
      <c r="R23">
        <v>100000</v>
      </c>
    </row>
    <row r="24" spans="1:18" x14ac:dyDescent="0.25">
      <c r="A24" t="s">
        <v>44</v>
      </c>
    </row>
    <row r="25" spans="1:18" x14ac:dyDescent="0.25">
      <c r="A25" t="s">
        <v>34</v>
      </c>
    </row>
    <row r="27" spans="1:18" x14ac:dyDescent="0.25">
      <c r="B27" t="s">
        <v>36</v>
      </c>
      <c r="D27" t="s">
        <v>37</v>
      </c>
    </row>
    <row r="28" spans="1:18" x14ac:dyDescent="0.25">
      <c r="A28" t="s">
        <v>35</v>
      </c>
      <c r="B28">
        <v>1000</v>
      </c>
      <c r="D28">
        <v>600</v>
      </c>
    </row>
    <row r="29" spans="1:18" x14ac:dyDescent="0.25">
      <c r="A29" t="s">
        <v>23</v>
      </c>
      <c r="B29">
        <v>400</v>
      </c>
      <c r="D29">
        <v>350</v>
      </c>
    </row>
    <row r="30" spans="1:18" x14ac:dyDescent="0.25">
      <c r="A30" t="s">
        <v>38</v>
      </c>
      <c r="B30">
        <v>250</v>
      </c>
      <c r="D30">
        <v>125</v>
      </c>
    </row>
    <row r="31" spans="1:18" x14ac:dyDescent="0.25">
      <c r="A31" t="s">
        <v>39</v>
      </c>
      <c r="B31">
        <v>100000</v>
      </c>
    </row>
    <row r="34" spans="1:10" x14ac:dyDescent="0.25">
      <c r="B34" t="s">
        <v>36</v>
      </c>
      <c r="D34" t="s">
        <v>37</v>
      </c>
    </row>
    <row r="35" spans="1:10" x14ac:dyDescent="0.25">
      <c r="A35" t="s">
        <v>35</v>
      </c>
      <c r="B35">
        <v>1000</v>
      </c>
      <c r="D35">
        <v>600</v>
      </c>
    </row>
    <row r="36" spans="1:10" x14ac:dyDescent="0.25">
      <c r="A36" t="s">
        <v>23</v>
      </c>
      <c r="B36">
        <v>400</v>
      </c>
      <c r="C36">
        <f>B35*B36</f>
        <v>400000</v>
      </c>
      <c r="D36">
        <v>350</v>
      </c>
      <c r="E36">
        <f>D35*D36</f>
        <v>210000</v>
      </c>
    </row>
    <row r="37" spans="1:10" x14ac:dyDescent="0.25">
      <c r="A37" t="s">
        <v>38</v>
      </c>
      <c r="B37">
        <v>250</v>
      </c>
      <c r="C37">
        <f>B35*B37</f>
        <v>250000</v>
      </c>
      <c r="D37">
        <v>125</v>
      </c>
      <c r="E37">
        <f>D35*D37</f>
        <v>75000</v>
      </c>
    </row>
    <row r="38" spans="1:10" x14ac:dyDescent="0.25">
      <c r="A38" t="s">
        <v>40</v>
      </c>
      <c r="B38">
        <v>150</v>
      </c>
      <c r="C38">
        <f>C36-C37</f>
        <v>150000</v>
      </c>
      <c r="D38">
        <v>225</v>
      </c>
      <c r="E38">
        <f>E36-E37</f>
        <v>135000</v>
      </c>
    </row>
    <row r="39" spans="1:10" x14ac:dyDescent="0.25">
      <c r="A39" t="s">
        <v>41</v>
      </c>
      <c r="B39">
        <f>C38+E38</f>
        <v>285000</v>
      </c>
    </row>
    <row r="40" spans="1:10" x14ac:dyDescent="0.25">
      <c r="A40" t="s">
        <v>42</v>
      </c>
      <c r="B40">
        <f>B39-B31</f>
        <v>185000</v>
      </c>
    </row>
    <row r="43" spans="1:10" x14ac:dyDescent="0.25">
      <c r="A43" t="s">
        <v>43</v>
      </c>
    </row>
    <row r="44" spans="1:10" x14ac:dyDescent="0.25">
      <c r="A44" s="2" t="s">
        <v>45</v>
      </c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G45" t="s">
        <v>47</v>
      </c>
    </row>
    <row r="46" spans="1:10" x14ac:dyDescent="0.25">
      <c r="G46" t="s">
        <v>46</v>
      </c>
      <c r="H46" s="1">
        <v>0.2</v>
      </c>
    </row>
    <row r="47" spans="1:10" x14ac:dyDescent="0.25">
      <c r="B47" t="s">
        <v>36</v>
      </c>
      <c r="D47" t="s">
        <v>37</v>
      </c>
      <c r="G47" t="s">
        <v>16</v>
      </c>
      <c r="H47" s="1">
        <v>0.1</v>
      </c>
    </row>
    <row r="48" spans="1:10" x14ac:dyDescent="0.25">
      <c r="A48" t="s">
        <v>35</v>
      </c>
      <c r="B48">
        <v>1000</v>
      </c>
      <c r="D48">
        <v>600</v>
      </c>
    </row>
    <row r="49" spans="1:10" x14ac:dyDescent="0.25">
      <c r="A49" t="s">
        <v>48</v>
      </c>
      <c r="B49">
        <f>H47*B48</f>
        <v>100</v>
      </c>
      <c r="D49">
        <v>0</v>
      </c>
    </row>
    <row r="50" spans="1:10" x14ac:dyDescent="0.25">
      <c r="A50" t="s">
        <v>49</v>
      </c>
      <c r="B50">
        <f>B48+B49</f>
        <v>1100</v>
      </c>
      <c r="D50">
        <f>D48+D49</f>
        <v>600</v>
      </c>
    </row>
    <row r="51" spans="1:10" x14ac:dyDescent="0.25">
      <c r="A51" t="s">
        <v>23</v>
      </c>
      <c r="B51">
        <v>400</v>
      </c>
      <c r="C51">
        <f>B50*B51</f>
        <v>440000</v>
      </c>
      <c r="D51">
        <v>350</v>
      </c>
      <c r="E51">
        <f>D50*D51</f>
        <v>210000</v>
      </c>
    </row>
    <row r="52" spans="1:10" x14ac:dyDescent="0.25">
      <c r="A52" t="s">
        <v>50</v>
      </c>
      <c r="C52">
        <f>C51-(C51*H46)</f>
        <v>352000</v>
      </c>
      <c r="E52">
        <v>210000</v>
      </c>
    </row>
    <row r="53" spans="1:10" x14ac:dyDescent="0.25">
      <c r="A53" t="s">
        <v>38</v>
      </c>
      <c r="B53">
        <v>250</v>
      </c>
      <c r="C53">
        <f>B50*B53</f>
        <v>275000</v>
      </c>
      <c r="D53">
        <v>125</v>
      </c>
      <c r="E53">
        <f>D48*D53</f>
        <v>75000</v>
      </c>
    </row>
    <row r="54" spans="1:10" x14ac:dyDescent="0.25">
      <c r="A54" t="s">
        <v>40</v>
      </c>
      <c r="B54">
        <v>150</v>
      </c>
      <c r="C54">
        <f>C52-C53</f>
        <v>77000</v>
      </c>
      <c r="D54">
        <v>225</v>
      </c>
      <c r="E54">
        <f>E52-E53</f>
        <v>135000</v>
      </c>
    </row>
    <row r="55" spans="1:10" x14ac:dyDescent="0.25">
      <c r="A55" t="s">
        <v>41</v>
      </c>
      <c r="B55">
        <f>C54+E54</f>
        <v>212000</v>
      </c>
    </row>
    <row r="56" spans="1:10" x14ac:dyDescent="0.25">
      <c r="A56" t="s">
        <v>51</v>
      </c>
      <c r="B56">
        <f>B55-B31</f>
        <v>112000</v>
      </c>
    </row>
    <row r="58" spans="1:10" x14ac:dyDescent="0.25">
      <c r="A58" t="s">
        <v>43</v>
      </c>
    </row>
    <row r="59" spans="1:10" x14ac:dyDescent="0.25">
      <c r="A59" s="2" t="s">
        <v>59</v>
      </c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G60" t="s">
        <v>52</v>
      </c>
    </row>
    <row r="61" spans="1:10" x14ac:dyDescent="0.25">
      <c r="B61" t="s">
        <v>36</v>
      </c>
      <c r="D61" t="s">
        <v>37</v>
      </c>
      <c r="G61" t="s">
        <v>53</v>
      </c>
      <c r="H61" s="1">
        <v>0.3</v>
      </c>
    </row>
    <row r="62" spans="1:10" x14ac:dyDescent="0.25">
      <c r="A62" t="s">
        <v>35</v>
      </c>
      <c r="B62">
        <v>1000</v>
      </c>
      <c r="D62">
        <v>600</v>
      </c>
      <c r="G62" t="s">
        <v>54</v>
      </c>
      <c r="H62" s="1">
        <v>0.2</v>
      </c>
    </row>
    <row r="63" spans="1:10" x14ac:dyDescent="0.25">
      <c r="A63" t="s">
        <v>23</v>
      </c>
      <c r="B63">
        <v>400</v>
      </c>
      <c r="C63">
        <f>B62*B63</f>
        <v>400000</v>
      </c>
      <c r="D63">
        <v>350</v>
      </c>
      <c r="E63">
        <f>D62*D63</f>
        <v>210000</v>
      </c>
    </row>
    <row r="64" spans="1:10" x14ac:dyDescent="0.25">
      <c r="A64" t="s">
        <v>55</v>
      </c>
      <c r="B64">
        <v>0</v>
      </c>
      <c r="D64">
        <f>(D63*H62)</f>
        <v>70</v>
      </c>
    </row>
    <row r="65" spans="1:5" x14ac:dyDescent="0.25">
      <c r="A65" t="s">
        <v>56</v>
      </c>
      <c r="B65">
        <f>B63+B64</f>
        <v>400</v>
      </c>
      <c r="C65">
        <f>B62*B65</f>
        <v>400000</v>
      </c>
      <c r="D65">
        <f>D63+D64</f>
        <v>420</v>
      </c>
      <c r="E65">
        <f>D62*D65</f>
        <v>252000</v>
      </c>
    </row>
    <row r="66" spans="1:5" x14ac:dyDescent="0.25">
      <c r="A66" t="s">
        <v>38</v>
      </c>
      <c r="B66">
        <v>250</v>
      </c>
      <c r="C66">
        <f>B62*B66</f>
        <v>250000</v>
      </c>
      <c r="D66">
        <v>125</v>
      </c>
      <c r="E66">
        <f>D62*D66</f>
        <v>75000</v>
      </c>
    </row>
    <row r="67" spans="1:5" x14ac:dyDescent="0.25">
      <c r="A67" t="s">
        <v>57</v>
      </c>
      <c r="B67">
        <v>0</v>
      </c>
      <c r="D67">
        <f>D66*H61</f>
        <v>37.5</v>
      </c>
    </row>
    <row r="68" spans="1:5" x14ac:dyDescent="0.25">
      <c r="A68" t="s">
        <v>58</v>
      </c>
      <c r="B68">
        <f>B66+B67</f>
        <v>250</v>
      </c>
      <c r="C68">
        <f>B62*B68</f>
        <v>250000</v>
      </c>
      <c r="D68">
        <f>D66+D67</f>
        <v>162.5</v>
      </c>
      <c r="E68">
        <f>D62*D68</f>
        <v>97500</v>
      </c>
    </row>
    <row r="69" spans="1:5" x14ac:dyDescent="0.25">
      <c r="A69" t="s">
        <v>40</v>
      </c>
      <c r="B69">
        <v>150</v>
      </c>
      <c r="C69">
        <f>C65-C68</f>
        <v>150000</v>
      </c>
      <c r="D69">
        <v>257.5</v>
      </c>
      <c r="E69">
        <f>E65-E68</f>
        <v>154500</v>
      </c>
    </row>
    <row r="70" spans="1:5" x14ac:dyDescent="0.25">
      <c r="A70" t="s">
        <v>41</v>
      </c>
      <c r="B70">
        <f>C69+E69</f>
        <v>304500</v>
      </c>
    </row>
    <row r="71" spans="1:5" x14ac:dyDescent="0.25">
      <c r="A71" t="s">
        <v>42</v>
      </c>
      <c r="B71">
        <f>B70-B31</f>
        <v>204500</v>
      </c>
    </row>
  </sheetData>
  <mergeCells count="2">
    <mergeCell ref="A44:J44"/>
    <mergeCell ref="A59:J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Kiran</cp:lastModifiedBy>
  <dcterms:created xsi:type="dcterms:W3CDTF">2025-06-13T14:48:53Z</dcterms:created>
  <dcterms:modified xsi:type="dcterms:W3CDTF">2025-06-13T18:02:50Z</dcterms:modified>
</cp:coreProperties>
</file>